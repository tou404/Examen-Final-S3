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cap" sheetId="1" state="visible" r:id="rId3"/>
    <sheet name="liste des taches" sheetId="2" state="visible" r:id="rId4"/>
    <sheet name="avancement projet" sheetId="3" state="visible" r:id="rId5"/>
    <sheet name="detail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<sst xmlns="http://schemas.openxmlformats.org/spreadsheetml/2006/main" count="66" uniqueCount="41">
  <si>
    <t xml:space="preserve">Avancement</t>
  </si>
  <si>
    <t xml:space="preserve">Qui</t>
  </si>
  <si>
    <t xml:space="preserve">Somme de Estimation</t>
  </si>
  <si>
    <t xml:space="preserve">RAKOTO</t>
  </si>
  <si>
    <t xml:space="preserve">RASOA</t>
  </si>
  <si>
    <t xml:space="preserve">(vide)</t>
  </si>
  <si>
    <t xml:space="preserve">Total Résultat</t>
  </si>
  <si>
    <t xml:space="preserve">Ligne</t>
  </si>
  <si>
    <t xml:space="preserve">Catégorie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</si>
  <si>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</si>
  <si>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</si>
  <si>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</si>
  <si>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</si>
  <si>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</si>
  <si>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</si>
  <si>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</si>
  <si>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Status</t>
  </si>
  <si>
    <t xml:space="preserve">Web</t>
  </si>
  <si>
    <t xml:space="preserve">Login</t>
  </si>
  <si>
    <t xml:space="preserve">index.php</t>
  </si>
  <si>
    <t xml:space="preserve">Création html</t>
  </si>
  <si>
    <t xml:space="preserve">Affichage</t>
  </si>
  <si>
    <t xml:space="preserve">Design css</t>
  </si>
  <si>
    <t xml:space="preserve">fonctions.php</t>
  </si>
  <si>
    <t xml:space="preserve">checkLogin</t>
  </si>
  <si>
    <t xml:space="preserve">Fonction</t>
  </si>
  <si>
    <t xml:space="preserve">table login</t>
  </si>
  <si>
    <t xml:space="preserve">Base</t>
  </si>
  <si>
    <t xml:space="preserve">données test</t>
  </si>
  <si>
    <t xml:space="preserve">traitement-login.php</t>
  </si>
  <si>
    <t xml:space="preserve">fonctionnement login</t>
  </si>
  <si>
    <t xml:space="preserve">Code intégration</t>
  </si>
  <si>
    <t xml:space="preserve">Mobile</t>
  </si>
  <si>
    <t xml:space="preserve">dashboard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</si>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</sst>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 %"/>
    <numFmt numFmtId="166" formatCode="0\ %"/>
    <numFmt numFmtId="167" formatCode="d/m"/>
  </numFmts>
  <fonts count="9">
    <font>
      <sz val="12"/>
      <color theme="1"/>
      <name val="Aptos Narrow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</font>
    <font>
      <b val="true"/>
      <sz val="11"/>
      <color theme="1"/>
      <name val="Arial"/>
      <family val="0"/>
    </font>
    <font>
      <sz val="11"/>
      <color theme="1"/>
      <name val="Aptos Narrow"/>
      <family val="0"/>
    </font>
    <font>
      <b val="true"/>
      <sz val="12"/>
      <color theme="1"/>
      <name val="Arial"/>
      <family val="0"/>
    </font>
    <font>
      <sz val="11"/>
      <color theme="1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95DCF7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in de la table dynamique" xfId="20"/>
    <cellStyle name="Valeur de la table dynamique" xfId="21"/>
    <cellStyle name="Champ de la table dynamique" xfId="22"/>
    <cellStyle name="Catégorie de la table dynamique" xfId="23"/>
    <cellStyle name="Titre de la table dynamique" xfId="24"/>
    <cellStyle name="Résultat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" createdVersion="3">
  <cacheSource type="worksheet">
    <worksheetSource ref="C1:L20" sheet="liste des taches"/>
  </cacheSource>
  <cacheFields count="10">
    <cacheField name="Module" numFmtId="0">
      <sharedItems containsBlank="1" count="3">
        <s v="dashboard"/>
        <s v="Login"/>
        <m/>
      </sharedItems>
    </cacheField>
    <cacheField name="Nom page" numFmtId="0">
      <sharedItems containsBlank="1" count="4">
        <s v="fonctions.php"/>
        <s v="index.php"/>
        <s v="traitement-login.php"/>
        <m/>
      </sharedItems>
    </cacheField>
    <cacheField name="Description" numFmtId="0">
      <sharedItems containsBlank="1" count="7">
        <s v="checkLogin"/>
        <s v="Création html"/>
        <s v="Design css"/>
        <s v="données test"/>
        <s v="fonctionnement login"/>
        <s v="table login"/>
        <m/>
      </sharedItems>
    </cacheField>
    <cacheField name="Type" numFmtId="0">
      <sharedItems containsBlank="1" count="5">
        <s v="Affichage"/>
        <s v="Base"/>
        <s v="Code intégration"/>
        <s v="Fonction"/>
        <m/>
      </sharedItems>
    </cacheField>
    <cacheField name="Estimation" numFmtId="0">
      <sharedItems containsString="0" containsBlank="1" containsNumber="1" containsInteger="1" minValue="10" maxValue="180" count="5">
        <n v="10"/>
        <n v="15"/>
        <n v="30"/>
        <n v="180"/>
        <m/>
      </sharedItems>
    </cacheField>
    <cacheField name="Temps passé" numFmtId="0">
      <sharedItems containsString="0" containsBlank="1" containsNumber="1" containsInteger="1" minValue="0" maxValue="20" count="4">
        <n v="0"/>
        <n v="10"/>
        <n v="20"/>
        <m/>
      </sharedItems>
    </cacheField>
    <cacheField name="Reste à faire" numFmtId="0">
      <sharedItems containsString="0" containsBlank="1" containsNumber="1" containsInteger="1" minValue="5" maxValue="180" count="5">
        <n v="5"/>
        <n v="10"/>
        <n v="30"/>
        <n v="180"/>
        <m/>
      </sharedItems>
    </cacheField>
    <cacheField name="Avancement" numFmtId="0">
      <sharedItems containsString="0" containsBlank="1" containsNumber="1" minValue="0" maxValue="0.666666666666667" count="3">
        <n v="0"/>
        <n v="0.666666666666667"/>
        <m/>
      </sharedItems>
    </cacheField>
    <cacheField name="Qui" numFmtId="0">
      <sharedItems containsBlank="1" count="3">
        <s v="RAKOTO"/>
        <s v="RASOA"/>
        <m/>
      </sharedItems>
    </cacheField>
    <cacheField name="Status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1"/>
    <x v="1"/>
    <x v="1"/>
    <x v="0"/>
    <x v="2"/>
    <x v="2"/>
    <x v="1"/>
    <x v="1"/>
    <x v="0"/>
    <x v="0"/>
  </r>
  <r>
    <x v="1"/>
    <x v="1"/>
    <x v="2"/>
    <x v="0"/>
    <x v="2"/>
    <x v="0"/>
    <x v="2"/>
    <x v="0"/>
    <x v="0"/>
    <x v="0"/>
  </r>
  <r>
    <x v="1"/>
    <x v="0"/>
    <x v="0"/>
    <x v="3"/>
    <x v="1"/>
    <x v="1"/>
    <x v="0"/>
    <x v="1"/>
    <x v="1"/>
    <x v="0"/>
  </r>
  <r>
    <x v="1"/>
    <x v="1"/>
    <x v="5"/>
    <x v="1"/>
    <x v="0"/>
    <x v="0"/>
    <x v="1"/>
    <x v="0"/>
    <x v="1"/>
    <x v="0"/>
  </r>
  <r>
    <x v="1"/>
    <x v="1"/>
    <x v="3"/>
    <x v="1"/>
    <x v="0"/>
    <x v="0"/>
    <x v="1"/>
    <x v="0"/>
    <x v="1"/>
    <x v="0"/>
  </r>
  <r>
    <x v="1"/>
    <x v="2"/>
    <x v="4"/>
    <x v="2"/>
    <x v="2"/>
    <x v="0"/>
    <x v="2"/>
    <x v="0"/>
    <x v="0"/>
    <x v="0"/>
  </r>
  <r>
    <x v="0"/>
    <x v="3"/>
    <x v="6"/>
    <x v="4"/>
    <x v="3"/>
    <x v="0"/>
    <x v="3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7" firstHeaderRow="1" firstDataRow="1" firstDataCol="1"/>
  <pivotFields count="10"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4">
        <item x="0"/>
        <item x="1"/>
        <item x="2"/>
        <item t="default"/>
      </items>
    </pivotField>
    <pivotField compact="0" showAll="0" outline="0"/>
  </pivotFields>
  <rowFields count="1">
    <field x="8"/>
  </rowFields>
  <dataFields count="1">
    <dataField name="Somme de Estimation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.44"/>
    <col collapsed="false" customWidth="true" hidden="false" outlineLevel="0" max="26" min="3" style="0" width="10.56"/>
  </cols>
  <sheetData>
    <row r="1" customFormat="false" ht="15.75" hidden="false" customHeight="true" outlineLevel="0" collapsed="false">
      <c r="A1" s="1" t="s">
        <v>0</v>
      </c>
      <c r="B1" s="2" t="n">
        <f aca="false">'avancement projet'!D2</f>
        <v>0.09836065574</v>
      </c>
    </row>
    <row r="2" customFormat="false" ht="15.75" hidden="false" customHeight="true" outlineLevel="0" collapsed="false"/>
    <row r="3" customFormat="false" ht="15.75" hidden="false" customHeight="true" outlineLevel="0" collapsed="false">
      <c r="A3" s="3" t="s">
        <v>1</v>
      </c>
      <c r="B3" s="4" t="s">
        <v>2</v>
      </c>
    </row>
    <row r="4" customFormat="false" ht="15.75" hidden="false" customHeight="true" outlineLevel="0" collapsed="false">
      <c r="A4" s="5" t="s">
        <v>3</v>
      </c>
      <c r="B4" s="6" t="n">
        <v>270</v>
      </c>
    </row>
    <row r="5" customFormat="false" ht="15.75" hidden="false" customHeight="true" outlineLevel="0" collapsed="false">
      <c r="A5" s="7" t="s">
        <v>4</v>
      </c>
      <c r="B5" s="8" t="n">
        <v>35</v>
      </c>
    </row>
    <row r="6" customFormat="false" ht="15.75" hidden="false" customHeight="true" outlineLevel="0" collapsed="false">
      <c r="A6" s="7" t="s">
        <v>5</v>
      </c>
      <c r="B6" s="9"/>
    </row>
    <row r="7" customFormat="false" ht="15.75" hidden="false" customHeight="true" outlineLevel="0" collapsed="false">
      <c r="A7" s="10" t="s">
        <v>6</v>
      </c>
      <c r="B7" s="11" t="n">
        <v>305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G41" activeCellId="0" sqref="G4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3.22"/>
    <col collapsed="false" customWidth="true" hidden="false" outlineLevel="0" max="3" min="3" style="0" width="8.67"/>
    <col collapsed="false" customWidth="true" hidden="false" outlineLevel="0" max="4" min="4" style="0" width="18"/>
    <col collapsed="false" customWidth="true" hidden="false" outlineLevel="0" max="5" min="5" style="0" width="19.44"/>
    <col collapsed="false" customWidth="true" hidden="false" outlineLevel="0" max="6" min="6" style="0" width="15.11"/>
    <col collapsed="false" customWidth="true" hidden="false" outlineLevel="0" max="7" min="7" style="0" width="10.56"/>
    <col collapsed="false" customWidth="true" hidden="false" outlineLevel="0" max="10" min="8" style="0" width="12"/>
    <col collapsed="false" customWidth="true" hidden="false" outlineLevel="0" max="11" min="11" style="0" width="12.11"/>
    <col collapsed="false" customWidth="true" hidden="false" outlineLevel="0" max="28" min="12" style="0" width="10.56"/>
  </cols>
  <sheetData>
    <row r="1" customFormat="false" ht="15.75" hidden="false" customHeight="true" outlineLevel="0" collapsed="false">
      <c r="A1" s="12" t="s">
        <v>7</v>
      </c>
      <c r="B1" s="12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0</v>
      </c>
      <c r="K1" s="13" t="s">
        <v>1</v>
      </c>
      <c r="L1" s="13" t="s">
        <v>16</v>
      </c>
    </row>
    <row r="2" customFormat="false" ht="15.75" hidden="false" customHeight="true" outlineLevel="0" collapsed="false">
      <c r="A2" s="14" t="n">
        <v>1</v>
      </c>
      <c r="B2" s="14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n">
        <v>30</v>
      </c>
      <c r="H2" s="15" t="n">
        <f aca="false">detail!B2</f>
        <v>20</v>
      </c>
      <c r="I2" s="15" t="n">
        <f aca="false">G2-H2</f>
        <v>10</v>
      </c>
      <c r="J2" s="16" t="n">
        <f aca="false">(H2/(H2+I2))</f>
        <v>0.666666666666667</v>
      </c>
      <c r="K2" s="15" t="s">
        <v>3</v>
      </c>
    </row>
    <row r="3" customFormat="false" ht="15.75" hidden="false" customHeight="true" outlineLevel="0" collapsed="false">
      <c r="A3" s="14" t="n">
        <v>2</v>
      </c>
      <c r="B3" s="14" t="s">
        <v>17</v>
      </c>
      <c r="C3" s="15" t="s">
        <v>18</v>
      </c>
      <c r="D3" s="15" t="s">
        <v>19</v>
      </c>
      <c r="E3" s="15" t="s">
        <v>22</v>
      </c>
      <c r="F3" s="15" t="s">
        <v>21</v>
      </c>
      <c r="G3" s="15" t="n">
        <v>30</v>
      </c>
      <c r="H3" s="15" t="n">
        <f aca="false">detail!B3</f>
        <v>0</v>
      </c>
      <c r="I3" s="15" t="n">
        <f aca="false">G3-H3</f>
        <v>30</v>
      </c>
      <c r="J3" s="16" t="n">
        <f aca="false">(H3/(H3+I3))</f>
        <v>0</v>
      </c>
      <c r="K3" s="15" t="s">
        <v>3</v>
      </c>
    </row>
    <row r="4" customFormat="false" ht="15.75" hidden="false" customHeight="true" outlineLevel="0" collapsed="false">
      <c r="A4" s="14" t="n">
        <v>3</v>
      </c>
      <c r="B4" s="14" t="s">
        <v>17</v>
      </c>
      <c r="C4" s="15" t="s">
        <v>18</v>
      </c>
      <c r="D4" s="15" t="s">
        <v>23</v>
      </c>
      <c r="E4" s="15" t="s">
        <v>24</v>
      </c>
      <c r="F4" s="15" t="s">
        <v>25</v>
      </c>
      <c r="G4" s="15" t="n">
        <v>15</v>
      </c>
      <c r="H4" s="15" t="n">
        <f aca="false">detail!B4</f>
        <v>10</v>
      </c>
      <c r="I4" s="15" t="n">
        <f aca="false">G4-H4</f>
        <v>5</v>
      </c>
      <c r="J4" s="16" t="n">
        <f aca="false">(H4/(H4+I4))</f>
        <v>0.666666666666667</v>
      </c>
      <c r="K4" s="15" t="s">
        <v>4</v>
      </c>
    </row>
    <row r="5" customFormat="false" ht="15.75" hidden="false" customHeight="true" outlineLevel="0" collapsed="false">
      <c r="A5" s="14" t="n">
        <v>4</v>
      </c>
      <c r="B5" s="14" t="s">
        <v>17</v>
      </c>
      <c r="C5" s="15" t="s">
        <v>18</v>
      </c>
      <c r="D5" s="15" t="s">
        <v>19</v>
      </c>
      <c r="E5" s="15" t="s">
        <v>26</v>
      </c>
      <c r="F5" s="15" t="s">
        <v>27</v>
      </c>
      <c r="G5" s="15" t="n">
        <v>10</v>
      </c>
      <c r="H5" s="15" t="n">
        <f aca="false">detail!B5</f>
        <v>0</v>
      </c>
      <c r="I5" s="15" t="n">
        <f aca="false">G5-H5</f>
        <v>10</v>
      </c>
      <c r="J5" s="16" t="n">
        <f aca="false">(H5/(H5+I5))</f>
        <v>0</v>
      </c>
      <c r="K5" s="15" t="s">
        <v>4</v>
      </c>
    </row>
    <row r="6" customFormat="false" ht="15.75" hidden="false" customHeight="true" outlineLevel="0" collapsed="false">
      <c r="A6" s="14" t="n">
        <v>5</v>
      </c>
      <c r="B6" s="14" t="s">
        <v>17</v>
      </c>
      <c r="C6" s="15" t="s">
        <v>18</v>
      </c>
      <c r="D6" s="15" t="s">
        <v>19</v>
      </c>
      <c r="E6" s="15" t="s">
        <v>28</v>
      </c>
      <c r="F6" s="15" t="s">
        <v>27</v>
      </c>
      <c r="G6" s="15" t="n">
        <v>10</v>
      </c>
      <c r="H6" s="15" t="n">
        <f aca="false">detail!B6</f>
        <v>0</v>
      </c>
      <c r="I6" s="15" t="n">
        <f aca="false">G6-H6</f>
        <v>10</v>
      </c>
      <c r="J6" s="16" t="n">
        <f aca="false">(H6/(H6+I6))</f>
        <v>0</v>
      </c>
      <c r="K6" s="15" t="s">
        <v>4</v>
      </c>
    </row>
    <row r="7" customFormat="false" ht="15.75" hidden="false" customHeight="true" outlineLevel="0" collapsed="false">
      <c r="A7" s="14" t="n">
        <v>6</v>
      </c>
      <c r="B7" s="14" t="s">
        <v>17</v>
      </c>
      <c r="C7" s="15" t="s">
        <v>18</v>
      </c>
      <c r="D7" s="15" t="s">
        <v>29</v>
      </c>
      <c r="E7" s="15" t="s">
        <v>30</v>
      </c>
      <c r="F7" s="15" t="s">
        <v>31</v>
      </c>
      <c r="G7" s="15" t="n">
        <v>30</v>
      </c>
      <c r="H7" s="15" t="n">
        <f aca="false">detail!B7</f>
        <v>0</v>
      </c>
      <c r="I7" s="15" t="n">
        <f aca="false">G7-H7</f>
        <v>30</v>
      </c>
      <c r="J7" s="16" t="n">
        <f aca="false">(H7/(H7+I7))</f>
        <v>0</v>
      </c>
      <c r="K7" s="15" t="s">
        <v>3</v>
      </c>
    </row>
    <row r="8" customFormat="false" ht="15.75" hidden="false" customHeight="true" outlineLevel="0" collapsed="false">
      <c r="A8" s="14" t="n">
        <v>7</v>
      </c>
      <c r="B8" s="14" t="s">
        <v>32</v>
      </c>
      <c r="C8" s="15" t="s">
        <v>33</v>
      </c>
      <c r="G8" s="15" t="n">
        <v>180</v>
      </c>
      <c r="H8" s="15" t="n">
        <f aca="false">detail!B8</f>
        <v>0</v>
      </c>
      <c r="I8" s="15" t="n">
        <f aca="false">G8-H8</f>
        <v>180</v>
      </c>
      <c r="J8" s="16" t="n">
        <f aca="false">(H8/(H8+I8))</f>
        <v>0</v>
      </c>
      <c r="K8" s="15" t="s">
        <v>3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25.44"/>
    <col collapsed="false" customWidth="true" hidden="false" outlineLevel="0" max="2" min="2" style="0" width="25.78"/>
    <col collapsed="false" customWidth="true" hidden="false" outlineLevel="0" max="3" min="3" style="0" width="30.78"/>
    <col collapsed="false" customWidth="true" hidden="false" outlineLevel="0" max="4" min="4" style="0" width="12.44"/>
    <col collapsed="false" customWidth="true" hidden="false" outlineLevel="0" max="5" min="5" style="0" width="22.44"/>
    <col collapsed="false" customWidth="true" hidden="false" outlineLevel="0" max="26" min="6" style="0" width="10.56"/>
  </cols>
  <sheetData>
    <row r="1" customFormat="false" ht="15.75" hidden="false" customHeight="true" outlineLevel="0" collapsed="false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</row>
    <row r="2" customFormat="false" ht="15.75" hidden="false" customHeight="true" outlineLevel="0" collapsed="false">
      <c r="A2" s="15" t="n">
        <f aca="false">SUM('liste des taches'!G2:G329)</f>
        <v>305</v>
      </c>
      <c r="B2" s="15" t="n">
        <f aca="false">SUM('liste des taches'!H2:H329)</f>
        <v>30</v>
      </c>
      <c r="C2" s="15" t="n">
        <f aca="false">SUM('liste des taches'!I2:I329)</f>
        <v>275</v>
      </c>
      <c r="D2" s="16" t="n">
        <f aca="false">(B2/(B2+C2))</f>
        <v>0.09836065574</v>
      </c>
      <c r="E2" s="17" t="n">
        <f aca="false">((B2+C2)-A2)/A2</f>
        <v>0</v>
      </c>
    </row>
    <row r="3" customFormat="false" ht="15.75" hidden="false" customHeight="true" outlineLevel="0" collapsed="false">
      <c r="C3" s="15" t="n">
        <f aca="false">C2/60</f>
        <v>4.583333333</v>
      </c>
      <c r="D3" s="15" t="s">
        <v>39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8" min="1" style="0" width="10.56"/>
  </cols>
  <sheetData>
    <row r="1" customFormat="false" ht="15.75" hidden="false" customHeight="true" outlineLevel="0" collapsed="false">
      <c r="A1" s="12" t="s">
        <v>7</v>
      </c>
      <c r="B1" s="1" t="s">
        <v>40</v>
      </c>
      <c r="C1" s="18" t="n">
        <v>46048</v>
      </c>
      <c r="D1" s="18" t="n">
        <v>46049</v>
      </c>
      <c r="E1" s="18" t="n">
        <v>46050</v>
      </c>
    </row>
    <row r="2" customFormat="false" ht="15.75" hidden="false" customHeight="true" outlineLevel="0" collapsed="false">
      <c r="A2" s="14" t="n">
        <v>1</v>
      </c>
      <c r="B2" s="15" t="n">
        <f aca="false">SUM(D2:P2)</f>
        <v>20</v>
      </c>
      <c r="C2" s="14"/>
      <c r="D2" s="14" t="n">
        <v>20</v>
      </c>
    </row>
    <row r="3" customFormat="false" ht="15.75" hidden="false" customHeight="true" outlineLevel="0" collapsed="false">
      <c r="A3" s="14" t="n">
        <v>2</v>
      </c>
      <c r="B3" s="15" t="n">
        <f aca="false">SUM(D3:P3)</f>
        <v>0</v>
      </c>
    </row>
    <row r="4" customFormat="false" ht="15.75" hidden="false" customHeight="true" outlineLevel="0" collapsed="false">
      <c r="A4" s="14" t="n">
        <v>3</v>
      </c>
      <c r="B4" s="15" t="n">
        <f aca="false">SUM(D4:P4)</f>
        <v>10</v>
      </c>
      <c r="C4" s="14" t="n">
        <v>20</v>
      </c>
      <c r="D4" s="14" t="n">
        <v>10</v>
      </c>
    </row>
    <row r="5" customFormat="false" ht="15.75" hidden="false" customHeight="true" outlineLevel="0" collapsed="false">
      <c r="A5" s="14" t="n">
        <v>4</v>
      </c>
      <c r="B5" s="15" t="n">
        <f aca="false">SUM(D5:P5)</f>
        <v>0</v>
      </c>
    </row>
    <row r="6" customFormat="false" ht="15.75" hidden="false" customHeight="true" outlineLevel="0" collapsed="false">
      <c r="A6" s="14" t="n">
        <v>5</v>
      </c>
      <c r="B6" s="15" t="n">
        <f aca="false">SUM(D6:P6)</f>
        <v>0</v>
      </c>
    </row>
    <row r="7" customFormat="false" ht="15.75" hidden="false" customHeight="true" outlineLevel="0" collapsed="false">
      <c r="A7" s="14" t="n">
        <v>6</v>
      </c>
      <c r="B7" s="15" t="n">
        <f aca="false">SUM(D7:P7)</f>
        <v>0</v>
      </c>
    </row>
    <row r="8" customFormat="false" ht="15.75" hidden="false" customHeight="true" outlineLevel="0" collapsed="false">
      <c r="A8" s="14" t="n">
        <v>7</v>
      </c>
      <c r="B8" s="15" t="n">
        <f aca="false">SUM(D8:P8)</f>
        <v>0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2026-02-13T16:32:14Z</dcterms:modified>
  <cp:revision>2</cp:revision>
  <dc:subject/>
  <dc:title/>
</cp:coreProperties>
</file>