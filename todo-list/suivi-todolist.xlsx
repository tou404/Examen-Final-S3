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  <sheet name="detail" sheetId="4" state="visible" r:id="rId6"/>
  </sheet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<sst xmlns="http://schemas.openxmlformats.org/spreadsheetml/2006/main" count="183" uniqueCount="79">
  <si>
    <t xml:space="preserve">Avancement</t>
  </si>
  <si>
    <t xml:space="preserve">Qui</t>
  </si>
  <si>
    <t xml:space="preserve">Somme de Estimation</t>
  </si>
  <si>
    <t xml:space="preserve">(vide)</t>
  </si>
  <si>
    <t xml:space="preserve">ITOKIANA</t>
  </si>
  <si>
    <t xml:space="preserve">MAMY</t>
  </si>
  <si>
    <t xml:space="preserve">TOAVINA</t>
  </si>
  <si>
    <t xml:space="preserve">Total Résultat</t>
  </si>
  <si>
    <t xml:space="preserve">Ligne</t>
  </si>
  <si>
    <t xml:space="preserve">Catégorie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</si>
  <si>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</si>
  <si>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</si>
  <si>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</si>
  <si>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</si>
  <si>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</si>
  <si>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</si>
  <si>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</si>
  <si>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Status</t>
  </si>
  <si>
    <t xml:space="preserve">Base de donnee</t>
  </si>
  <si>
    <t xml:space="preserve">MYSQL</t>
  </si>
  <si>
    <t xml:space="preserve">202602164014-1-base.sql</t>
  </si>
  <si>
    <t xml:space="preserve">Création de la base</t>
  </si>
  <si>
    <t xml:space="preserve">OK</t>
  </si>
  <si>
    <t xml:space="preserve">Web</t>
  </si>
  <si>
    <t xml:space="preserve">FLIGHT</t>
  </si>
  <si>
    <t xml:space="preserve">config.php</t>
  </si>
  <si>
    <t xml:space="preserve">Initialisation de config</t>
  </si>
  <si>
    <t xml:space="preserve">model/</t>
  </si>
  <si>
    <t xml:space="preserve">Initialisation de model</t>
  </si>
  <si>
    <t xml:space="preserve">model</t>
  </si>
  <si>
    <t xml:space="preserve">VilleController.php</t>
  </si>
  <si>
    <t xml:space="preserve">Fonctions CRUD</t>
  </si>
  <si>
    <t xml:space="preserve">controller</t>
  </si>
  <si>
    <t xml:space="preserve">BesoinController.php</t>
  </si>
  <si>
    <t xml:space="preserve">Saisie de besoin</t>
  </si>
  <si>
    <t xml:space="preserve">Dashboard.php</t>
  </si>
  <si>
    <t xml:space="preserve"> tableau couverture par ville</t>
  </si>
  <si>
    <t xml:space="preserve">view</t>
  </si>
  <si>
    <t xml:space="preserve">DonController.php</t>
  </si>
  <si>
    <t xml:space="preserve">Saisie des dons + donateurs</t>
  </si>
  <si>
    <t xml:space="preserve">ville.php</t>
  </si>
  <si>
    <t xml:space="preserve">Formulaire + liste des villes </t>
  </si>
  <si>
    <t xml:space="preserve">besoin.php</t>
  </si>
  <si>
    <t xml:space="preserve">Formulaire + qte restante</t>
  </si>
  <si>
    <t xml:space="preserve">don.php</t>
  </si>
  <si>
    <t xml:space="preserve">Formulaire donateur+don+liste</t>
  </si>
  <si>
    <t xml:space="preserve">dispatch.php</t>
  </si>
  <si>
    <t xml:space="preserve">Bouton simulation + historique</t>
  </si>
  <si>
    <t xml:space="preserve">view/</t>
  </si>
  <si>
    <t xml:space="preserve">Verfication + quelques integrations</t>
  </si>
  <si>
    <t xml:space="preserve">Integration</t>
  </si>
  <si>
    <t xml:space="preserve">style.css</t>
  </si>
  <si>
    <t xml:space="preserve">Style</t>
  </si>
  <si>
    <t xml:space="preserve">Design</t>
  </si>
  <si>
    <t xml:space="preserve">Initialisation des nouveaux models</t>
  </si>
  <si>
    <t xml:space="preserve">RecapController.php</t>
  </si>
  <si>
    <t xml:space="preserve">recapitulation besoin et don</t>
  </si>
  <si>
    <t xml:space="preserve">recapitulation.php</t>
  </si>
  <si>
    <t xml:space="preserve">Affichage des recap besoin et don</t>
  </si>
  <si>
    <t xml:space="preserve">View</t>
  </si>
  <si>
    <t xml:space="preserve">AchatController.php</t>
  </si>
  <si>
    <t xml:space="preserve">Configuration des frais d’achat</t>
  </si>
  <si>
    <t xml:space="preserve">achat.php</t>
  </si>
  <si>
    <t xml:space="preserve">Historique des achats + dons argents dispo</t>
  </si>
  <si>
    <t xml:space="preserve">DispatchModel.php</t>
  </si>
  <si>
    <t xml:space="preserve">Fonctions CRUD + Fonctions necessaires</t>
  </si>
  <si>
    <t xml:space="preserve">3 mode de partage</t>
  </si>
  <si>
    <t xml:space="preserve">202602171401-1-seed-donnees-reelles.sql</t>
  </si>
  <si>
    <t xml:space="preserve">Insertion des donnees reellees</t>
  </si>
  <si>
    <t xml:space="preserve">/app</t>
  </si>
  <si>
    <t xml:space="preserve">Test + verification finale</t>
  </si>
  <si>
    <t xml:space="preserve">TOTAL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</si>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</sst>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 %"/>
    <numFmt numFmtId="166" formatCode="0\ %"/>
    <numFmt numFmtId="167" formatCode="d/m"/>
  </numFmts>
  <fonts count="9">
    <font>
      <sz val="12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ptos Narrow"/>
      <family val="0"/>
      <charset val="1"/>
    </font>
    <font>
      <b val="true"/>
      <sz val="12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FF99"/>
      </patternFill>
    </fill>
    <fill>
      <patternFill patternType="solid">
        <fgColor rgb="FF95DCF7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DCF7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9" createdVersion="3">
  <cacheSource type="worksheet">
    <worksheetSource ref="C1:L20" sheet="liste des taches"/>
  </cacheSource>
  <cacheFields count="10">
    <cacheField name="Module" numFmtId="0">
      <sharedItems count="2">
        <s v="FLIGHT"/>
        <s v="MYSQL"/>
      </sharedItems>
    </cacheField>
    <cacheField name="Nom page" numFmtId="0">
      <sharedItems containsBlank="1" count="18">
        <s v="202602164014-1-base.sql"/>
        <s v="achat.php"/>
        <s v="AchatController.php"/>
        <s v="besoin.php"/>
        <s v="BesoinController.php"/>
        <s v="config.php"/>
        <s v="Dashboard.php"/>
        <s v="dispatch.php"/>
        <s v="don.php"/>
        <s v="DonController.php"/>
        <s v="model/"/>
        <s v="RecapController.php"/>
        <s v="recapitulation.php"/>
        <s v="style.css"/>
        <s v="view/"/>
        <s v="ville.php"/>
        <s v="VilleController.php"/>
        <m/>
      </sharedItems>
    </cacheField>
    <cacheField name="Description" numFmtId="0">
      <sharedItems containsBlank="1" count="19">
        <s v=" tableau couverture par ville"/>
        <s v="Affichage des recap besoin et don"/>
        <s v="Bouton simulation + historique"/>
        <s v="Configuration des frais d’achat"/>
        <s v="Création de la base"/>
        <s v="Fonctions CRUD"/>
        <s v="Formulaire + liste des villes "/>
        <s v="Formulaire + qte restante"/>
        <s v="Formulaire donateur+don+liste"/>
        <s v="Historique des achats + dons argents dispo"/>
        <s v="Initialisation de config"/>
        <s v="Initialisation de model"/>
        <s v="Initialisation des nouveaux models"/>
        <s v="recapitulation besoin et don"/>
        <s v="Saisie de besoin"/>
        <s v="Saisie des dons + donateurs"/>
        <s v="Style"/>
        <s v="Verfication + quelques integrations"/>
        <m/>
      </sharedItems>
    </cacheField>
    <cacheField name="Type" numFmtId="0">
      <sharedItems containsBlank="1" count="7">
        <s v="Base de donnee"/>
        <s v="controller"/>
        <s v="Design"/>
        <s v="Integration"/>
        <s v="model"/>
        <s v="view"/>
        <m/>
      </sharedItems>
    </cacheField>
    <cacheField name="Estimation" numFmtId="0">
      <sharedItems containsString="0" containsBlank="1" containsNumber="1" containsInteger="1" minValue="10" maxValue="60" count="7">
        <n v="10"/>
        <n v="15"/>
        <n v="20"/>
        <n v="30"/>
        <n v="40"/>
        <n v="60"/>
        <m/>
      </sharedItems>
    </cacheField>
    <cacheField name="Temps passé" numFmtId="0">
      <sharedItems containsString="0" containsBlank="1" containsNumber="1" containsInteger="1" minValue="4" maxValue="60" count="8">
        <n v="4"/>
        <n v="5"/>
        <n v="10"/>
        <n v="15"/>
        <n v="20"/>
        <n v="40"/>
        <n v="60"/>
        <m/>
      </sharedItems>
    </cacheField>
    <cacheField name="Reste à faire" numFmtId="0">
      <sharedItems containsString="0" containsBlank="1" containsNumber="1" containsInteger="1" minValue="-5" maxValue="20" count="6">
        <n v="-5"/>
        <n v="0"/>
        <n v="5"/>
        <n v="16"/>
        <n v="20"/>
        <m/>
      </sharedItems>
    </cacheField>
    <cacheField name="Avancement" numFmtId="0">
      <sharedItems containsString="0" containsBlank="1" containsNumber="1" minValue="0.2" maxValue="1.5" count="6">
        <n v="0.2"/>
        <n v="0.333333333333333"/>
        <n v="0.5"/>
        <n v="1"/>
        <n v="1.5"/>
        <m/>
      </sharedItems>
    </cacheField>
    <cacheField name="Qui" numFmtId="0">
      <sharedItems containsBlank="1" count="4">
        <s v="ITOKIANA"/>
        <s v="MAMY"/>
        <s v="TOAVINA"/>
        <m/>
      </sharedItems>
    </cacheField>
    <cacheField name="Status" numFmtId="0">
      <sharedItems containsBlank="1" count="3">
        <s v="DEPASSE"/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">
  <r>
    <x v="1"/>
    <x v="0"/>
    <x v="4"/>
    <x v="0"/>
    <x v="0"/>
    <x v="2"/>
    <x v="1"/>
    <x v="3"/>
    <x v="1"/>
    <x v="1"/>
  </r>
  <r>
    <x v="0"/>
    <x v="5"/>
    <x v="10"/>
    <x v="0"/>
    <x v="0"/>
    <x v="2"/>
    <x v="1"/>
    <x v="3"/>
    <x v="2"/>
    <x v="1"/>
  </r>
  <r>
    <x v="0"/>
    <x v="10"/>
    <x v="11"/>
    <x v="4"/>
    <x v="3"/>
    <x v="2"/>
    <x v="4"/>
    <x v="1"/>
    <x v="0"/>
    <x v="1"/>
  </r>
  <r>
    <x v="0"/>
    <x v="16"/>
    <x v="5"/>
    <x v="1"/>
    <x v="0"/>
    <x v="2"/>
    <x v="1"/>
    <x v="3"/>
    <x v="2"/>
    <x v="1"/>
  </r>
  <r>
    <x v="0"/>
    <x v="4"/>
    <x v="14"/>
    <x v="1"/>
    <x v="2"/>
    <x v="0"/>
    <x v="3"/>
    <x v="0"/>
    <x v="2"/>
    <x v="1"/>
  </r>
  <r>
    <x v="0"/>
    <x v="6"/>
    <x v="0"/>
    <x v="5"/>
    <x v="0"/>
    <x v="3"/>
    <x v="0"/>
    <x v="4"/>
    <x v="1"/>
    <x v="0"/>
  </r>
  <r>
    <x v="0"/>
    <x v="9"/>
    <x v="15"/>
    <x v="1"/>
    <x v="1"/>
    <x v="3"/>
    <x v="1"/>
    <x v="3"/>
    <x v="2"/>
    <x v="1"/>
  </r>
  <r>
    <x v="0"/>
    <x v="15"/>
    <x v="6"/>
    <x v="5"/>
    <x v="0"/>
    <x v="1"/>
    <x v="2"/>
    <x v="2"/>
    <x v="1"/>
    <x v="1"/>
  </r>
  <r>
    <x v="0"/>
    <x v="3"/>
    <x v="7"/>
    <x v="5"/>
    <x v="0"/>
    <x v="2"/>
    <x v="1"/>
    <x v="3"/>
    <x v="1"/>
    <x v="1"/>
  </r>
  <r>
    <x v="0"/>
    <x v="8"/>
    <x v="8"/>
    <x v="5"/>
    <x v="0"/>
    <x v="2"/>
    <x v="1"/>
    <x v="3"/>
    <x v="1"/>
    <x v="1"/>
  </r>
  <r>
    <x v="0"/>
    <x v="7"/>
    <x v="2"/>
    <x v="5"/>
    <x v="0"/>
    <x v="2"/>
    <x v="1"/>
    <x v="3"/>
    <x v="1"/>
    <x v="1"/>
  </r>
  <r>
    <x v="0"/>
    <x v="14"/>
    <x v="17"/>
    <x v="3"/>
    <x v="2"/>
    <x v="4"/>
    <x v="1"/>
    <x v="3"/>
    <x v="0"/>
    <x v="1"/>
  </r>
  <r>
    <x v="0"/>
    <x v="13"/>
    <x v="16"/>
    <x v="2"/>
    <x v="1"/>
    <x v="3"/>
    <x v="1"/>
    <x v="3"/>
    <x v="0"/>
    <x v="1"/>
  </r>
  <r>
    <x v="0"/>
    <x v="10"/>
    <x v="12"/>
    <x v="4"/>
    <x v="2"/>
    <x v="4"/>
    <x v="1"/>
    <x v="3"/>
    <x v="0"/>
    <x v="1"/>
  </r>
  <r>
    <x v="0"/>
    <x v="11"/>
    <x v="13"/>
    <x v="1"/>
    <x v="5"/>
    <x v="6"/>
    <x v="1"/>
    <x v="3"/>
    <x v="2"/>
    <x v="1"/>
  </r>
  <r>
    <x v="0"/>
    <x v="12"/>
    <x v="1"/>
    <x v="5"/>
    <x v="2"/>
    <x v="4"/>
    <x v="1"/>
    <x v="3"/>
    <x v="1"/>
    <x v="1"/>
  </r>
  <r>
    <x v="0"/>
    <x v="2"/>
    <x v="3"/>
    <x v="1"/>
    <x v="2"/>
    <x v="4"/>
    <x v="1"/>
    <x v="3"/>
    <x v="2"/>
    <x v="1"/>
  </r>
  <r>
    <x v="0"/>
    <x v="1"/>
    <x v="9"/>
    <x v="5"/>
    <x v="4"/>
    <x v="5"/>
    <x v="1"/>
    <x v="3"/>
    <x v="1"/>
    <x v="1"/>
  </r>
  <r>
    <x v="0"/>
    <x v="17"/>
    <x v="18"/>
    <x v="6"/>
    <x v="6"/>
    <x v="7"/>
    <x v="5"/>
    <x v="5"/>
    <x v="3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Recap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B8" firstHeaderRow="1" firstDataRow="1" firstDataCol="1"/>
  <pivotFields count="10">
    <pivotField compact="0" showAll="0" outline="0"/>
    <pivotField compact="0" showAll="0" outline="0"/>
    <pivotField compact="0" showAll="0" outline="0"/>
    <pivotField compact="0" showAll="0" outline="0"/>
    <pivotField dataField="1" compact="0" showAll="0" outline="0"/>
    <pivotField compact="0" showAll="0" outline="0"/>
    <pivotField compact="0" showAll="0" outline="0"/>
    <pivotField compact="0" showAll="0" outline="0"/>
    <pivotField axis="axisRow" compact="0" showAll="0" outline="0">
      <items count="5">
        <item x="3"/>
        <item x="0"/>
        <item x="1"/>
        <item x="2"/>
        <item t="default"/>
      </items>
    </pivotField>
    <pivotField compact="0" showAll="0" outline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44"/>
    <col collapsed="false" customWidth="true" hidden="false" outlineLevel="0" max="26" min="3" style="1" width="10.56"/>
  </cols>
  <sheetData>
    <row r="1" customFormat="false" ht="15.75" hidden="false" customHeight="true" outlineLevel="0" collapsed="false">
      <c r="A1" s="2" t="s">
        <v>0</v>
      </c>
      <c r="B1" s="3" t="n">
        <f aca="false">'avancement projet'!D2</f>
        <v>1.08518877057115</v>
      </c>
    </row>
    <row r="2" customFormat="false" ht="15.75" hidden="false" customHeight="true" outlineLevel="0" collapsed="false"/>
    <row r="3" customFormat="false" ht="15.75" hidden="false" customHeight="true" outlineLevel="0" collapsed="false">
      <c r="A3" s="4" t="s">
        <v>1</v>
      </c>
      <c r="B3" s="5" t="s">
        <v>2</v>
      </c>
    </row>
    <row r="4" customFormat="false" ht="15.75" hidden="false" customHeight="true" outlineLevel="0" collapsed="false">
      <c r="A4" s="6" t="s">
        <v>3</v>
      </c>
      <c r="B4" s="7"/>
    </row>
    <row r="5" customFormat="false" ht="15.75" hidden="false" customHeight="true" outlineLevel="0" collapsed="false">
      <c r="A5" s="8" t="s">
        <v>4</v>
      </c>
      <c r="B5" s="9" t="n">
        <v>85</v>
      </c>
    </row>
    <row r="6" customFormat="false" ht="15.75" hidden="false" customHeight="true" outlineLevel="0" collapsed="false">
      <c r="A6" s="8" t="s">
        <v>5</v>
      </c>
      <c r="B6" s="9" t="n">
        <v>120</v>
      </c>
    </row>
    <row r="7" customFormat="false" ht="15.75" hidden="false" customHeight="true" outlineLevel="0" collapsed="false">
      <c r="A7" s="8" t="s">
        <v>6</v>
      </c>
      <c r="B7" s="10" t="n">
        <v>135</v>
      </c>
    </row>
    <row r="8" customFormat="false" ht="15.75" hidden="false" customHeight="true" outlineLevel="0" collapsed="false">
      <c r="A8" s="11" t="s">
        <v>7</v>
      </c>
      <c r="B8" s="12" t="n">
        <v>340</v>
      </c>
    </row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4" activeCellId="0" sqref="H24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22"/>
    <col collapsed="false" customWidth="true" hidden="false" outlineLevel="0" max="3" min="3" style="1" width="8.67"/>
    <col collapsed="false" customWidth="true" hidden="false" outlineLevel="0" max="4" min="4" style="1" width="37.53"/>
    <col collapsed="false" customWidth="true" hidden="false" outlineLevel="0" max="5" min="5" style="1" width="36.26"/>
    <col collapsed="false" customWidth="true" hidden="false" outlineLevel="0" max="6" min="6" style="1" width="15.11"/>
    <col collapsed="false" customWidth="true" hidden="false" outlineLevel="0" max="7" min="7" style="1" width="10.56"/>
    <col collapsed="false" customWidth="true" hidden="false" outlineLevel="0" max="10" min="8" style="1" width="12"/>
    <col collapsed="false" customWidth="true" hidden="false" outlineLevel="0" max="11" min="11" style="1" width="12.11"/>
    <col collapsed="false" customWidth="true" hidden="false" outlineLevel="0" max="28" min="12" style="1" width="10.56"/>
  </cols>
  <sheetData>
    <row r="1" customFormat="false" ht="15.75" hidden="false" customHeight="true" outlineLevel="0" collapsed="false">
      <c r="A1" s="13" t="s">
        <v>8</v>
      </c>
      <c r="B1" s="13" t="s">
        <v>9</v>
      </c>
      <c r="C1" s="14" t="s">
        <v>10</v>
      </c>
      <c r="D1" s="14" t="s">
        <v>11</v>
      </c>
      <c r="E1" s="14" t="s">
        <v>12</v>
      </c>
      <c r="F1" s="14" t="s">
        <v>13</v>
      </c>
      <c r="G1" s="14" t="s">
        <v>14</v>
      </c>
      <c r="H1" s="14" t="s">
        <v>15</v>
      </c>
      <c r="I1" s="14" t="s">
        <v>16</v>
      </c>
      <c r="J1" s="14" t="s">
        <v>0</v>
      </c>
      <c r="K1" s="14" t="s">
        <v>1</v>
      </c>
      <c r="L1" s="14" t="s">
        <v>17</v>
      </c>
    </row>
    <row r="2" customFormat="false" ht="15.75" hidden="false" customHeight="true" outlineLevel="0" collapsed="false">
      <c r="A2" s="15" t="n">
        <v>1</v>
      </c>
      <c r="B2" s="15" t="s">
        <v>18</v>
      </c>
      <c r="C2" s="16" t="s">
        <v>19</v>
      </c>
      <c r="D2" s="16" t="s">
        <v>20</v>
      </c>
      <c r="E2" s="16" t="s">
        <v>21</v>
      </c>
      <c r="F2" s="16" t="s">
        <v>18</v>
      </c>
      <c r="G2" s="16" t="n">
        <v>30</v>
      </c>
      <c r="H2" s="16" t="n">
        <v>35</v>
      </c>
      <c r="I2" s="16" t="n">
        <f aca="false">G2-H2</f>
        <v>-5</v>
      </c>
      <c r="J2" s="17" t="n">
        <f aca="false">(H2/(H2+I2))</f>
        <v>1.16666666666667</v>
      </c>
      <c r="K2" s="16" t="s">
        <v>5</v>
      </c>
      <c r="L2" s="1" t="s">
        <v>22</v>
      </c>
    </row>
    <row r="3" customFormat="false" ht="15.75" hidden="false" customHeight="true" outlineLevel="0" collapsed="false">
      <c r="A3" s="15" t="n">
        <v>2</v>
      </c>
      <c r="B3" s="15" t="s">
        <v>23</v>
      </c>
      <c r="C3" s="16" t="s">
        <v>24</v>
      </c>
      <c r="D3" s="1" t="s">
        <v>25</v>
      </c>
      <c r="E3" s="1" t="s">
        <v>26</v>
      </c>
      <c r="F3" s="1" t="s">
        <v>18</v>
      </c>
      <c r="G3" s="1" t="n">
        <v>45</v>
      </c>
      <c r="H3" s="1" t="n">
        <v>45</v>
      </c>
      <c r="I3" s="16" t="n">
        <f aca="false">G3-H3</f>
        <v>0</v>
      </c>
      <c r="J3" s="17" t="n">
        <f aca="false">(H3/(H3+I3))</f>
        <v>1</v>
      </c>
      <c r="K3" s="16" t="s">
        <v>6</v>
      </c>
      <c r="L3" s="1" t="s">
        <v>22</v>
      </c>
    </row>
    <row r="4" customFormat="false" ht="15.75" hidden="false" customHeight="true" outlineLevel="0" collapsed="false">
      <c r="A4" s="15" t="n">
        <v>3</v>
      </c>
      <c r="B4" s="15" t="s">
        <v>23</v>
      </c>
      <c r="C4" s="16" t="s">
        <v>24</v>
      </c>
      <c r="D4" s="1" t="s">
        <v>27</v>
      </c>
      <c r="E4" s="1" t="s">
        <v>28</v>
      </c>
      <c r="F4" s="1" t="s">
        <v>29</v>
      </c>
      <c r="G4" s="1" t="n">
        <v>100</v>
      </c>
      <c r="H4" s="1" t="n">
        <v>120</v>
      </c>
      <c r="I4" s="16" t="n">
        <f aca="false">G4-H4</f>
        <v>-20</v>
      </c>
      <c r="J4" s="17" t="n">
        <f aca="false">(H4/(H4+I4))</f>
        <v>1.2</v>
      </c>
      <c r="K4" s="1" t="s">
        <v>4</v>
      </c>
      <c r="L4" s="1" t="s">
        <v>22</v>
      </c>
    </row>
    <row r="5" customFormat="false" ht="15.75" hidden="false" customHeight="true" outlineLevel="0" collapsed="false">
      <c r="A5" s="15" t="n">
        <v>4</v>
      </c>
      <c r="B5" s="15" t="s">
        <v>23</v>
      </c>
      <c r="C5" s="16" t="s">
        <v>24</v>
      </c>
      <c r="D5" s="1" t="s">
        <v>30</v>
      </c>
      <c r="E5" s="1" t="s">
        <v>31</v>
      </c>
      <c r="F5" s="1" t="s">
        <v>32</v>
      </c>
      <c r="G5" s="1" t="n">
        <v>60</v>
      </c>
      <c r="H5" s="1" t="n">
        <v>50</v>
      </c>
      <c r="I5" s="16" t="n">
        <f aca="false">G5-H5</f>
        <v>10</v>
      </c>
      <c r="J5" s="17" t="n">
        <f aca="false">(H5/(H5+I5))</f>
        <v>0.833333333333333</v>
      </c>
      <c r="K5" s="1" t="s">
        <v>6</v>
      </c>
      <c r="L5" s="1" t="s">
        <v>22</v>
      </c>
    </row>
    <row r="6" customFormat="false" ht="15.75" hidden="false" customHeight="true" outlineLevel="0" collapsed="false">
      <c r="A6" s="15" t="n">
        <v>5</v>
      </c>
      <c r="B6" s="15" t="s">
        <v>23</v>
      </c>
      <c r="C6" s="16" t="s">
        <v>24</v>
      </c>
      <c r="D6" s="1" t="s">
        <v>33</v>
      </c>
      <c r="E6" s="1" t="s">
        <v>34</v>
      </c>
      <c r="F6" s="1" t="s">
        <v>32</v>
      </c>
      <c r="G6" s="1" t="n">
        <v>30</v>
      </c>
      <c r="H6" s="1" t="n">
        <v>30</v>
      </c>
      <c r="I6" s="16" t="n">
        <f aca="false">G6-H6</f>
        <v>0</v>
      </c>
      <c r="J6" s="17" t="n">
        <f aca="false">(H6/(H6+I6))</f>
        <v>1</v>
      </c>
      <c r="K6" s="1" t="s">
        <v>6</v>
      </c>
      <c r="L6" s="1" t="s">
        <v>22</v>
      </c>
    </row>
    <row r="7" customFormat="false" ht="15.75" hidden="false" customHeight="true" outlineLevel="0" collapsed="false">
      <c r="A7" s="15" t="n">
        <v>6</v>
      </c>
      <c r="B7" s="15" t="s">
        <v>23</v>
      </c>
      <c r="C7" s="16" t="s">
        <v>24</v>
      </c>
      <c r="D7" s="1" t="s">
        <v>35</v>
      </c>
      <c r="E7" s="1" t="s">
        <v>36</v>
      </c>
      <c r="F7" s="1" t="s">
        <v>37</v>
      </c>
      <c r="G7" s="1" t="n">
        <v>60</v>
      </c>
      <c r="H7" s="1" t="n">
        <v>70</v>
      </c>
      <c r="I7" s="16" t="n">
        <f aca="false">G7-H7</f>
        <v>-10</v>
      </c>
      <c r="J7" s="17" t="n">
        <f aca="false">(H7/(H7+I7))</f>
        <v>1.16666666666667</v>
      </c>
      <c r="K7" s="1" t="s">
        <v>5</v>
      </c>
      <c r="L7" s="1" t="s">
        <v>22</v>
      </c>
    </row>
    <row r="8" customFormat="false" ht="15.75" hidden="false" customHeight="true" outlineLevel="0" collapsed="false">
      <c r="A8" s="15" t="n">
        <v>7</v>
      </c>
      <c r="B8" s="15" t="s">
        <v>23</v>
      </c>
      <c r="C8" s="16" t="s">
        <v>24</v>
      </c>
      <c r="D8" s="1" t="s">
        <v>38</v>
      </c>
      <c r="E8" s="1" t="s">
        <v>39</v>
      </c>
      <c r="F8" s="1" t="s">
        <v>32</v>
      </c>
      <c r="G8" s="1" t="n">
        <v>20</v>
      </c>
      <c r="H8" s="1" t="n">
        <v>20</v>
      </c>
      <c r="I8" s="16" t="n">
        <f aca="false">G8-H8</f>
        <v>0</v>
      </c>
      <c r="J8" s="17" t="n">
        <f aca="false">(H8/(H8+I8))</f>
        <v>1</v>
      </c>
      <c r="K8" s="1" t="s">
        <v>6</v>
      </c>
      <c r="L8" s="1" t="s">
        <v>22</v>
      </c>
    </row>
    <row r="9" customFormat="false" ht="15.75" hidden="false" customHeight="true" outlineLevel="0" collapsed="false">
      <c r="A9" s="15" t="n">
        <v>8</v>
      </c>
      <c r="B9" s="15" t="s">
        <v>23</v>
      </c>
      <c r="C9" s="16" t="s">
        <v>24</v>
      </c>
      <c r="D9" s="1" t="s">
        <v>40</v>
      </c>
      <c r="E9" s="1" t="s">
        <v>41</v>
      </c>
      <c r="F9" s="1" t="s">
        <v>37</v>
      </c>
      <c r="G9" s="1" t="n">
        <v>30</v>
      </c>
      <c r="H9" s="1" t="n">
        <v>35</v>
      </c>
      <c r="I9" s="16" t="n">
        <f aca="false">G9-H9</f>
        <v>-5</v>
      </c>
      <c r="J9" s="17" t="n">
        <f aca="false">(H9/(H9+I9))</f>
        <v>1.16666666666667</v>
      </c>
      <c r="K9" s="1" t="s">
        <v>5</v>
      </c>
      <c r="L9" s="1" t="s">
        <v>22</v>
      </c>
    </row>
    <row r="10" customFormat="false" ht="15.75" hidden="false" customHeight="true" outlineLevel="0" collapsed="false">
      <c r="A10" s="15" t="n">
        <v>9</v>
      </c>
      <c r="B10" s="15" t="s">
        <v>23</v>
      </c>
      <c r="C10" s="16" t="s">
        <v>24</v>
      </c>
      <c r="D10" s="1" t="s">
        <v>42</v>
      </c>
      <c r="E10" s="1" t="s">
        <v>43</v>
      </c>
      <c r="F10" s="1" t="s">
        <v>37</v>
      </c>
      <c r="G10" s="1" t="n">
        <v>30</v>
      </c>
      <c r="H10" s="1" t="n">
        <v>50</v>
      </c>
      <c r="I10" s="16" t="n">
        <f aca="false">G10-H10</f>
        <v>-20</v>
      </c>
      <c r="J10" s="17" t="n">
        <f aca="false">(H10/(H10+I10))</f>
        <v>1.66666666666667</v>
      </c>
      <c r="K10" s="1" t="s">
        <v>5</v>
      </c>
      <c r="L10" s="1" t="s">
        <v>22</v>
      </c>
    </row>
    <row r="11" customFormat="false" ht="15.75" hidden="false" customHeight="true" outlineLevel="0" collapsed="false">
      <c r="A11" s="15" t="n">
        <v>10</v>
      </c>
      <c r="B11" s="15" t="s">
        <v>23</v>
      </c>
      <c r="C11" s="16" t="s">
        <v>24</v>
      </c>
      <c r="D11" s="1" t="s">
        <v>44</v>
      </c>
      <c r="E11" s="1" t="s">
        <v>45</v>
      </c>
      <c r="F11" s="1" t="s">
        <v>37</v>
      </c>
      <c r="G11" s="1" t="n">
        <v>30</v>
      </c>
      <c r="H11" s="1" t="n">
        <v>56</v>
      </c>
      <c r="I11" s="16" t="n">
        <f aca="false">G11-H11</f>
        <v>-26</v>
      </c>
      <c r="J11" s="17" t="n">
        <f aca="false">(H11/(H11+I11))</f>
        <v>1.86666666666667</v>
      </c>
      <c r="K11" s="1" t="s">
        <v>5</v>
      </c>
      <c r="L11" s="1" t="s">
        <v>22</v>
      </c>
    </row>
    <row r="12" customFormat="false" ht="15.75" hidden="false" customHeight="true" outlineLevel="0" collapsed="false">
      <c r="A12" s="15" t="n">
        <v>11</v>
      </c>
      <c r="B12" s="15" t="s">
        <v>23</v>
      </c>
      <c r="C12" s="16" t="s">
        <v>24</v>
      </c>
      <c r="D12" s="1" t="s">
        <v>46</v>
      </c>
      <c r="E12" s="1" t="s">
        <v>47</v>
      </c>
      <c r="F12" s="1" t="s">
        <v>37</v>
      </c>
      <c r="G12" s="1" t="n">
        <v>100</v>
      </c>
      <c r="H12" s="1" t="n">
        <v>40</v>
      </c>
      <c r="I12" s="16" t="n">
        <f aca="false">G12-H12</f>
        <v>60</v>
      </c>
      <c r="J12" s="17" t="n">
        <f aca="false">(H12/(H12+I12))</f>
        <v>0.4</v>
      </c>
      <c r="K12" s="1" t="s">
        <v>5</v>
      </c>
      <c r="L12" s="1" t="s">
        <v>22</v>
      </c>
    </row>
    <row r="13" customFormat="false" ht="15.75" hidden="false" customHeight="true" outlineLevel="0" collapsed="false">
      <c r="A13" s="15" t="n">
        <v>12</v>
      </c>
      <c r="B13" s="15" t="s">
        <v>23</v>
      </c>
      <c r="C13" s="16" t="s">
        <v>24</v>
      </c>
      <c r="D13" s="1" t="s">
        <v>48</v>
      </c>
      <c r="E13" s="1" t="s">
        <v>49</v>
      </c>
      <c r="F13" s="1" t="s">
        <v>50</v>
      </c>
      <c r="G13" s="1" t="n">
        <v>60</v>
      </c>
      <c r="H13" s="1" t="n">
        <v>60</v>
      </c>
      <c r="I13" s="16" t="n">
        <f aca="false">G13-H13</f>
        <v>0</v>
      </c>
      <c r="J13" s="17" t="n">
        <f aca="false">(H13/(H13+I13))</f>
        <v>1</v>
      </c>
      <c r="K13" s="1" t="s">
        <v>4</v>
      </c>
      <c r="L13" s="1" t="s">
        <v>22</v>
      </c>
    </row>
    <row r="14" customFormat="false" ht="15.75" hidden="false" customHeight="true" outlineLevel="0" collapsed="false">
      <c r="A14" s="15" t="n">
        <v>13</v>
      </c>
      <c r="B14" s="15" t="s">
        <v>23</v>
      </c>
      <c r="C14" s="16" t="s">
        <v>24</v>
      </c>
      <c r="D14" s="1" t="s">
        <v>51</v>
      </c>
      <c r="E14" s="1" t="s">
        <v>52</v>
      </c>
      <c r="F14" s="1" t="s">
        <v>53</v>
      </c>
      <c r="G14" s="1" t="n">
        <v>20</v>
      </c>
      <c r="H14" s="1" t="n">
        <v>60</v>
      </c>
      <c r="I14" s="16" t="n">
        <f aca="false">G14-H14</f>
        <v>-40</v>
      </c>
      <c r="J14" s="17" t="n">
        <f aca="false">(H14/(H14+I14))</f>
        <v>3</v>
      </c>
      <c r="K14" s="1" t="s">
        <v>4</v>
      </c>
      <c r="L14" s="1" t="s">
        <v>22</v>
      </c>
    </row>
    <row r="15" customFormat="false" ht="15.75" hidden="false" customHeight="true" outlineLevel="0" collapsed="false">
      <c r="A15" s="15" t="n">
        <v>14</v>
      </c>
      <c r="B15" s="15" t="s">
        <v>23</v>
      </c>
      <c r="C15" s="16" t="s">
        <v>24</v>
      </c>
      <c r="D15" s="1" t="s">
        <v>27</v>
      </c>
      <c r="E15" s="1" t="s">
        <v>54</v>
      </c>
      <c r="F15" s="1" t="s">
        <v>29</v>
      </c>
      <c r="G15" s="1" t="n">
        <v>20</v>
      </c>
      <c r="H15" s="1" t="n">
        <v>30</v>
      </c>
      <c r="I15" s="16" t="n">
        <f aca="false">G15-H15</f>
        <v>-10</v>
      </c>
      <c r="J15" s="17" t="n">
        <f aca="false">(H15/(H15+I15))</f>
        <v>1.5</v>
      </c>
      <c r="K15" s="1" t="s">
        <v>4</v>
      </c>
      <c r="L15" s="1" t="s">
        <v>22</v>
      </c>
    </row>
    <row r="16" customFormat="false" ht="15.75" hidden="false" customHeight="true" outlineLevel="0" collapsed="false">
      <c r="A16" s="15" t="n">
        <v>15</v>
      </c>
      <c r="B16" s="15" t="s">
        <v>23</v>
      </c>
      <c r="C16" s="16" t="s">
        <v>24</v>
      </c>
      <c r="D16" s="1" t="s">
        <v>55</v>
      </c>
      <c r="E16" s="1" t="s">
        <v>56</v>
      </c>
      <c r="F16" s="1" t="s">
        <v>32</v>
      </c>
      <c r="G16" s="1" t="n">
        <v>60</v>
      </c>
      <c r="H16" s="1" t="n">
        <v>60</v>
      </c>
      <c r="I16" s="16" t="n">
        <f aca="false">G16-H16</f>
        <v>0</v>
      </c>
      <c r="J16" s="17" t="n">
        <f aca="false">(H16/(H16+I16))</f>
        <v>1</v>
      </c>
      <c r="K16" s="1" t="s">
        <v>6</v>
      </c>
      <c r="L16" s="1" t="s">
        <v>22</v>
      </c>
    </row>
    <row r="17" customFormat="false" ht="15.75" hidden="false" customHeight="true" outlineLevel="0" collapsed="false">
      <c r="A17" s="15" t="n">
        <v>16</v>
      </c>
      <c r="B17" s="15" t="s">
        <v>23</v>
      </c>
      <c r="C17" s="16" t="s">
        <v>24</v>
      </c>
      <c r="D17" s="1" t="s">
        <v>57</v>
      </c>
      <c r="E17" s="1" t="s">
        <v>58</v>
      </c>
      <c r="F17" s="1" t="s">
        <v>59</v>
      </c>
      <c r="G17" s="1" t="n">
        <v>20</v>
      </c>
      <c r="H17" s="1" t="n">
        <v>50</v>
      </c>
      <c r="I17" s="16" t="n">
        <f aca="false">G17-H17</f>
        <v>-30</v>
      </c>
      <c r="J17" s="17" t="n">
        <f aca="false">(H17/(H17+I17))</f>
        <v>2.5</v>
      </c>
      <c r="K17" s="1" t="s">
        <v>5</v>
      </c>
      <c r="L17" s="1" t="s">
        <v>22</v>
      </c>
    </row>
    <row r="18" customFormat="false" ht="15.75" hidden="false" customHeight="true" outlineLevel="0" collapsed="false">
      <c r="A18" s="15" t="n">
        <v>17</v>
      </c>
      <c r="B18" s="15" t="s">
        <v>23</v>
      </c>
      <c r="C18" s="16" t="s">
        <v>24</v>
      </c>
      <c r="D18" s="1" t="s">
        <v>60</v>
      </c>
      <c r="E18" s="1" t="s">
        <v>61</v>
      </c>
      <c r="F18" s="1" t="s">
        <v>32</v>
      </c>
      <c r="G18" s="1" t="n">
        <v>20</v>
      </c>
      <c r="H18" s="1" t="n">
        <v>45</v>
      </c>
      <c r="I18" s="16" t="n">
        <f aca="false">G18-H18</f>
        <v>-25</v>
      </c>
      <c r="J18" s="17" t="n">
        <f aca="false">(H18/(H18+I18))</f>
        <v>2.25</v>
      </c>
      <c r="K18" s="1" t="s">
        <v>6</v>
      </c>
      <c r="L18" s="1" t="s">
        <v>22</v>
      </c>
    </row>
    <row r="19" customFormat="false" ht="15.75" hidden="false" customHeight="true" outlineLevel="0" collapsed="false">
      <c r="A19" s="15" t="n">
        <v>18</v>
      </c>
      <c r="B19" s="15" t="s">
        <v>23</v>
      </c>
      <c r="C19" s="16" t="s">
        <v>24</v>
      </c>
      <c r="D19" s="1" t="s">
        <v>62</v>
      </c>
      <c r="E19" s="1" t="s">
        <v>63</v>
      </c>
      <c r="F19" s="1" t="s">
        <v>37</v>
      </c>
      <c r="G19" s="1" t="n">
        <v>50</v>
      </c>
      <c r="H19" s="1" t="n">
        <v>60</v>
      </c>
      <c r="I19" s="16" t="n">
        <f aca="false">G19-H19</f>
        <v>-10</v>
      </c>
      <c r="J19" s="17" t="n">
        <f aca="false">(H19/(H19+I19))</f>
        <v>1.2</v>
      </c>
      <c r="K19" s="1" t="s">
        <v>5</v>
      </c>
      <c r="L19" s="1" t="s">
        <v>22</v>
      </c>
    </row>
    <row r="20" customFormat="false" ht="15.75" hidden="false" customHeight="true" outlineLevel="0" collapsed="false">
      <c r="A20" s="15" t="n">
        <v>19</v>
      </c>
      <c r="B20" s="15" t="s">
        <v>23</v>
      </c>
      <c r="C20" s="16" t="s">
        <v>24</v>
      </c>
      <c r="D20" s="1" t="s">
        <v>64</v>
      </c>
      <c r="E20" s="1" t="s">
        <v>65</v>
      </c>
      <c r="F20" s="1" t="s">
        <v>29</v>
      </c>
      <c r="G20" s="1" t="n">
        <v>60</v>
      </c>
      <c r="H20" s="1" t="n">
        <v>90</v>
      </c>
      <c r="I20" s="16" t="n">
        <f aca="false">G20-H20</f>
        <v>-30</v>
      </c>
      <c r="J20" s="17" t="n">
        <f aca="false">(H20/(H20+I20))</f>
        <v>1.5</v>
      </c>
      <c r="K20" s="1" t="s">
        <v>6</v>
      </c>
      <c r="L20" s="1" t="s">
        <v>22</v>
      </c>
    </row>
    <row r="21" customFormat="false" ht="15.75" hidden="false" customHeight="true" outlineLevel="0" collapsed="false">
      <c r="A21" s="15" t="n">
        <v>20</v>
      </c>
      <c r="B21" s="15" t="s">
        <v>23</v>
      </c>
      <c r="C21" s="16" t="s">
        <v>24</v>
      </c>
      <c r="D21" s="1" t="s">
        <v>46</v>
      </c>
      <c r="E21" s="1" t="s">
        <v>66</v>
      </c>
      <c r="F21" s="1" t="s">
        <v>37</v>
      </c>
      <c r="G21" s="1" t="n">
        <v>40</v>
      </c>
      <c r="H21" s="1" t="n">
        <v>55</v>
      </c>
      <c r="I21" s="16" t="n">
        <f aca="false">G21-H21</f>
        <v>-15</v>
      </c>
      <c r="J21" s="17" t="n">
        <f aca="false">(H21/(H21+I21))</f>
        <v>1.375</v>
      </c>
      <c r="K21" s="1" t="s">
        <v>4</v>
      </c>
      <c r="L21" s="1" t="s">
        <v>22</v>
      </c>
    </row>
    <row r="22" customFormat="false" ht="15.75" hidden="false" customHeight="true" outlineLevel="0" collapsed="false">
      <c r="A22" s="15" t="n">
        <v>21</v>
      </c>
      <c r="B22" s="15" t="s">
        <v>18</v>
      </c>
      <c r="C22" s="16" t="s">
        <v>19</v>
      </c>
      <c r="D22" s="1" t="s">
        <v>67</v>
      </c>
      <c r="E22" s="1" t="s">
        <v>68</v>
      </c>
      <c r="F22" s="1" t="s">
        <v>18</v>
      </c>
      <c r="G22" s="1" t="n">
        <v>30</v>
      </c>
      <c r="H22" s="1" t="n">
        <v>30</v>
      </c>
      <c r="I22" s="16" t="n">
        <f aca="false">G22-H22</f>
        <v>0</v>
      </c>
      <c r="J22" s="17" t="n">
        <f aca="false">(H22/(H22+I22))</f>
        <v>1</v>
      </c>
      <c r="K22" s="1" t="s">
        <v>6</v>
      </c>
      <c r="L22" s="1" t="s">
        <v>22</v>
      </c>
    </row>
    <row r="23" customFormat="false" ht="15.75" hidden="false" customHeight="true" outlineLevel="0" collapsed="false">
      <c r="A23" s="15" t="n">
        <v>22</v>
      </c>
      <c r="B23" s="15" t="s">
        <v>23</v>
      </c>
      <c r="C23" s="16" t="s">
        <v>24</v>
      </c>
      <c r="D23" s="1" t="s">
        <v>69</v>
      </c>
      <c r="E23" s="1" t="s">
        <v>70</v>
      </c>
      <c r="F23" s="1" t="s">
        <v>24</v>
      </c>
      <c r="G23" s="1" t="n">
        <v>30</v>
      </c>
      <c r="H23" s="1" t="n">
        <v>30</v>
      </c>
      <c r="I23" s="16" t="n">
        <f aca="false">G23-H23</f>
        <v>0</v>
      </c>
      <c r="J23" s="17" t="n">
        <f aca="false">(H23/(H23+I23))</f>
        <v>1</v>
      </c>
      <c r="K23" s="1" t="s">
        <v>5</v>
      </c>
      <c r="L23" s="1" t="s">
        <v>22</v>
      </c>
    </row>
    <row r="24" customFormat="false" ht="15.75" hidden="false" customHeight="true" outlineLevel="0" collapsed="false">
      <c r="A24" s="15"/>
      <c r="B24" s="15"/>
      <c r="C24" s="16"/>
      <c r="E24" s="18"/>
      <c r="F24" s="18" t="s">
        <v>71</v>
      </c>
      <c r="G24" s="1" t="n">
        <f aca="false">SUM(G2:G23)</f>
        <v>945</v>
      </c>
      <c r="H24" s="1" t="n">
        <f aca="false">SUM(H2:H23)</f>
        <v>1121</v>
      </c>
    </row>
    <row r="25" customFormat="false" ht="15.75" hidden="false" customHeight="true" outlineLevel="0" collapsed="false">
      <c r="A25" s="15"/>
      <c r="B25" s="15"/>
      <c r="C25" s="16"/>
    </row>
    <row r="26" customFormat="false" ht="15.75" hidden="false" customHeight="true" outlineLevel="0" collapsed="false">
      <c r="A26" s="15"/>
      <c r="B26" s="15"/>
      <c r="C26" s="16"/>
    </row>
    <row r="27" customFormat="false" ht="15.75" hidden="false" customHeight="true" outlineLevel="0" collapsed="false">
      <c r="A27" s="15"/>
      <c r="B27" s="15"/>
      <c r="C27" s="16"/>
    </row>
    <row r="28" customFormat="false" ht="15.75" hidden="false" customHeight="true" outlineLevel="0" collapsed="false">
      <c r="A28" s="15"/>
      <c r="B28" s="15"/>
      <c r="C28" s="16"/>
    </row>
    <row r="29" customFormat="false" ht="15.75" hidden="false" customHeight="true" outlineLevel="0" collapsed="false">
      <c r="A29" s="15"/>
      <c r="B29" s="15"/>
      <c r="C29" s="16"/>
    </row>
    <row r="30" customFormat="false" ht="15.75" hidden="false" customHeight="true" outlineLevel="0" collapsed="false">
      <c r="A30" s="15"/>
      <c r="B30" s="15"/>
      <c r="C30" s="16"/>
    </row>
    <row r="31" customFormat="false" ht="15.75" hidden="false" customHeight="true" outlineLevel="0" collapsed="false">
      <c r="A31" s="15"/>
      <c r="B31" s="15"/>
      <c r="C31" s="16"/>
    </row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25.44"/>
    <col collapsed="false" customWidth="true" hidden="false" outlineLevel="0" max="2" min="2" style="1" width="25.78"/>
    <col collapsed="false" customWidth="true" hidden="false" outlineLevel="0" max="3" min="3" style="1" width="30.78"/>
    <col collapsed="false" customWidth="true" hidden="false" outlineLevel="0" max="4" min="4" style="1" width="12.44"/>
    <col collapsed="false" customWidth="true" hidden="false" outlineLevel="0" max="5" min="5" style="1" width="22.44"/>
    <col collapsed="false" customWidth="true" hidden="false" outlineLevel="0" max="26" min="6" style="1" width="10.56"/>
  </cols>
  <sheetData>
    <row r="1" customFormat="false" ht="15.75" hidden="false" customHeight="true" outlineLevel="0" collapsed="false">
      <c r="A1" s="14" t="s">
        <v>72</v>
      </c>
      <c r="B1" s="14" t="s">
        <v>73</v>
      </c>
      <c r="C1" s="14" t="s">
        <v>74</v>
      </c>
      <c r="D1" s="14" t="s">
        <v>75</v>
      </c>
      <c r="E1" s="14" t="s">
        <v>76</v>
      </c>
    </row>
    <row r="2" customFormat="false" ht="15.75" hidden="false" customHeight="true" outlineLevel="0" collapsed="false">
      <c r="A2" s="16" t="n">
        <f aca="false">SUM('liste des taches'!G2:G329)</f>
        <v>1890</v>
      </c>
      <c r="B2" s="16" t="n">
        <f aca="false">SUM('liste des taches'!H2:H329)</f>
        <v>2242</v>
      </c>
      <c r="C2" s="16" t="n">
        <f aca="false">SUM('liste des taches'!I2:I329)</f>
        <v>-176</v>
      </c>
      <c r="D2" s="17" t="n">
        <f aca="false">(B2/(B2+C2))</f>
        <v>1.08518877057115</v>
      </c>
      <c r="E2" s="19" t="n">
        <f aca="false">((B2+C2)-A2)/A2</f>
        <v>0.0931216931216931</v>
      </c>
    </row>
    <row r="3" customFormat="false" ht="15.75" hidden="false" customHeight="true" outlineLevel="0" collapsed="false">
      <c r="C3" s="16" t="n">
        <f aca="false">C2/60</f>
        <v>-2.93333333333333</v>
      </c>
      <c r="D3" s="16" t="s">
        <v>77</v>
      </c>
    </row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1875" defaultRowHeight="15" zeroHeight="false" outlineLevelRow="0" outlineLevelCol="0"/>
  <cols>
    <col collapsed="false" customWidth="true" hidden="false" outlineLevel="0" max="28" min="1" style="1" width="10.56"/>
  </cols>
  <sheetData>
    <row r="1" customFormat="false" ht="15.75" hidden="false" customHeight="true" outlineLevel="0" collapsed="false">
      <c r="A1" s="13" t="s">
        <v>8</v>
      </c>
      <c r="B1" s="2" t="s">
        <v>78</v>
      </c>
      <c r="C1" s="20" t="n">
        <v>46048</v>
      </c>
      <c r="D1" s="20" t="n">
        <v>46049</v>
      </c>
      <c r="E1" s="20" t="n">
        <v>46050</v>
      </c>
    </row>
    <row r="2" customFormat="false" ht="15.75" hidden="false" customHeight="true" outlineLevel="0" collapsed="false">
      <c r="A2" s="15" t="n">
        <v>1</v>
      </c>
      <c r="B2" s="16" t="n">
        <f aca="false">SUM(D2:P2)</f>
        <v>20</v>
      </c>
      <c r="C2" s="15"/>
      <c r="D2" s="15" t="n">
        <v>20</v>
      </c>
    </row>
    <row r="3" customFormat="false" ht="15.75" hidden="false" customHeight="true" outlineLevel="0" collapsed="false">
      <c r="A3" s="15" t="n">
        <v>2</v>
      </c>
      <c r="B3" s="16" t="n">
        <f aca="false">SUM(D3:P3)</f>
        <v>0</v>
      </c>
    </row>
    <row r="4" customFormat="false" ht="15.75" hidden="false" customHeight="true" outlineLevel="0" collapsed="false">
      <c r="A4" s="15" t="n">
        <v>3</v>
      </c>
      <c r="B4" s="16" t="n">
        <f aca="false">SUM(D4:P4)</f>
        <v>10</v>
      </c>
      <c r="C4" s="15" t="n">
        <v>20</v>
      </c>
      <c r="D4" s="15" t="n">
        <v>10</v>
      </c>
    </row>
    <row r="5" customFormat="false" ht="15.75" hidden="false" customHeight="true" outlineLevel="0" collapsed="false">
      <c r="A5" s="15" t="n">
        <v>4</v>
      </c>
      <c r="B5" s="16" t="n">
        <f aca="false">SUM(D5:P5)</f>
        <v>0</v>
      </c>
    </row>
    <row r="6" customFormat="false" ht="15.75" hidden="false" customHeight="true" outlineLevel="0" collapsed="false">
      <c r="A6" s="15" t="n">
        <v>5</v>
      </c>
      <c r="B6" s="16" t="n">
        <f aca="false">SUM(D6:P6)</f>
        <v>0</v>
      </c>
    </row>
    <row r="7" customFormat="false" ht="15.75" hidden="false" customHeight="true" outlineLevel="0" collapsed="false">
      <c r="A7" s="15" t="n">
        <v>6</v>
      </c>
      <c r="B7" s="16" t="n">
        <f aca="false">SUM(D7:P7)</f>
        <v>0</v>
      </c>
    </row>
    <row r="8" customFormat="false" ht="15.75" hidden="false" customHeight="true" outlineLevel="0" collapsed="false">
      <c r="A8" s="15" t="n">
        <v>7</v>
      </c>
      <c r="B8" s="16" t="n">
        <f aca="false">SUM(D8:P8)</f>
        <v>0</v>
      </c>
    </row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2026-02-17T15:56:05Z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